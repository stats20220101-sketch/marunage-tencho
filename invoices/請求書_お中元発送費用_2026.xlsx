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請求書" sheetId="1" state="visible" r:id="rId3"/>
    <sheet name="発送先内訳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<sst xmlns="http://schemas.openxmlformats.org/spreadsheetml/2006/main" count="73" uniqueCount="69">
  <si>
    <t xml:space="preserve">請　求　書（社内）</t>
  </si>
  <si>
    <t xml:space="preserve">発行日：</t>
  </si>
  <si>
    <r>
      <rPr>
        <sz val="11"/>
        <rFont val="Yu Gothic"/>
        <family val="0"/>
        <charset val="1"/>
      </rPr>
      <t xml:space="preserve">2026</t>
    </r>
    <r>
      <rPr>
        <sz val="11"/>
        <rFont val="WenQuanYi Zen Hei"/>
        <family val="2"/>
      </rPr>
      <t xml:space="preserve">年</t>
    </r>
    <r>
      <rPr>
        <sz val="11"/>
        <rFont val="Yu Gothic"/>
        <family val="0"/>
        <charset val="1"/>
      </rPr>
      <t xml:space="preserve">7</t>
    </r>
    <r>
      <rPr>
        <sz val="11"/>
        <rFont val="WenQuanYi Zen Hei"/>
        <family val="2"/>
      </rPr>
      <t xml:space="preserve">月</t>
    </r>
    <r>
      <rPr>
        <sz val="11"/>
        <rFont val="Yu Gothic"/>
        <family val="0"/>
        <charset val="1"/>
      </rPr>
      <t xml:space="preserve">25</t>
    </r>
    <r>
      <rPr>
        <sz val="11"/>
        <rFont val="WenQuanYi Zen Hei"/>
        <family val="2"/>
      </rPr>
      <t xml:space="preserve">日</t>
    </r>
  </si>
  <si>
    <r>
      <rPr>
        <sz val="11"/>
        <rFont val="WenQuanYi Zen Hei"/>
        <family val="2"/>
      </rPr>
      <t xml:space="preserve">請求書</t>
    </r>
    <r>
      <rPr>
        <sz val="11"/>
        <rFont val="Yu Gothic"/>
        <family val="0"/>
        <charset val="1"/>
      </rPr>
      <t xml:space="preserve">No</t>
    </r>
    <r>
      <rPr>
        <sz val="11"/>
        <rFont val="WenQuanYi Zen Hei"/>
        <family val="2"/>
      </rPr>
      <t xml:space="preserve">：</t>
    </r>
  </si>
  <si>
    <t xml:space="preserve">IT-20260725-01</t>
  </si>
  <si>
    <t xml:space="preserve">株式会社アイティープラス　事務所</t>
  </si>
  <si>
    <t xml:space="preserve">株式会社アイティープラス</t>
  </si>
  <si>
    <t xml:space="preserve">及川 里美 様</t>
  </si>
  <si>
    <r>
      <rPr>
        <sz val="10"/>
        <rFont val="WenQuanYi Zen Hei"/>
        <family val="2"/>
      </rPr>
      <t xml:space="preserve">広報・人事・</t>
    </r>
    <r>
      <rPr>
        <sz val="10"/>
        <rFont val="Yu Gothic"/>
        <family val="0"/>
        <charset val="1"/>
      </rPr>
      <t xml:space="preserve">EC</t>
    </r>
    <r>
      <rPr>
        <sz val="10"/>
        <rFont val="WenQuanYi Zen Hei"/>
        <family val="2"/>
      </rPr>
      <t xml:space="preserve">担当　佐藤 淳</t>
    </r>
  </si>
  <si>
    <r>
      <rPr>
        <sz val="10"/>
        <rFont val="WenQuanYi Zen Hei"/>
        <family val="2"/>
      </rPr>
      <t xml:space="preserve">〒</t>
    </r>
    <r>
      <rPr>
        <sz val="10"/>
        <rFont val="Yu Gothic"/>
        <family val="0"/>
        <charset val="1"/>
      </rPr>
      <t xml:space="preserve">185-0012 </t>
    </r>
    <r>
      <rPr>
        <sz val="10"/>
        <rFont val="WenQuanYi Zen Hei"/>
        <family val="2"/>
      </rPr>
      <t xml:space="preserve">東京都国分寺市本町</t>
    </r>
    <r>
      <rPr>
        <sz val="10"/>
        <rFont val="Yu Gothic"/>
        <family val="0"/>
        <charset val="1"/>
      </rPr>
      <t xml:space="preserve">1-5-12</t>
    </r>
  </si>
  <si>
    <r>
      <rPr>
        <sz val="10"/>
        <rFont val="WenQuanYi Zen Hei"/>
        <family val="2"/>
      </rPr>
      <t xml:space="preserve">ツインリーフ国分寺</t>
    </r>
    <r>
      <rPr>
        <sz val="10"/>
        <rFont val="Yu Gothic"/>
        <family val="0"/>
        <charset val="1"/>
      </rPr>
      <t xml:space="preserve">2F</t>
    </r>
  </si>
  <si>
    <t xml:space="preserve">TEL 042-300-3330 / FAX 042-300-3331</t>
  </si>
  <si>
    <t xml:space="preserve">Mail: a.sato@it-plus.jp</t>
  </si>
  <si>
    <r>
      <rPr>
        <b val="true"/>
        <sz val="11"/>
        <rFont val="WenQuanYi Zen Hei"/>
        <family val="2"/>
      </rPr>
      <t xml:space="preserve">件名：お中元発送費用（</t>
    </r>
    <r>
      <rPr>
        <b val="true"/>
        <sz val="11"/>
        <rFont val="Yu Gothic"/>
        <family val="0"/>
        <charset val="1"/>
      </rPr>
      <t xml:space="preserve">2026</t>
    </r>
    <r>
      <rPr>
        <b val="true"/>
        <sz val="11"/>
        <rFont val="WenQuanYi Zen Hei"/>
        <family val="2"/>
      </rPr>
      <t xml:space="preserve">年）</t>
    </r>
  </si>
  <si>
    <t xml:space="preserve">ご請求金額</t>
  </si>
  <si>
    <t xml:space="preserve">（税込）</t>
  </si>
  <si>
    <t xml:space="preserve">No.</t>
  </si>
  <si>
    <t xml:space="preserve">品目</t>
  </si>
  <si>
    <t xml:space="preserve">単価</t>
  </si>
  <si>
    <t xml:space="preserve">数量</t>
  </si>
  <si>
    <t xml:space="preserve">金額</t>
  </si>
  <si>
    <t xml:space="preserve">備考</t>
  </si>
  <si>
    <r>
      <rPr>
        <sz val="10"/>
        <rFont val="WenQuanYi Zen Hei"/>
        <family val="2"/>
      </rPr>
      <t xml:space="preserve">お中元ギフト　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人前セット（ギフトカード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人前）</t>
    </r>
  </si>
  <si>
    <r>
      <rPr>
        <sz val="9"/>
        <rFont val="Yu Gothic"/>
        <family val="0"/>
        <charset val="1"/>
      </rPr>
      <t xml:space="preserve">2026/7/7 </t>
    </r>
    <r>
      <rPr>
        <sz val="9"/>
        <rFont val="WenQuanYi Zen Hei"/>
        <family val="2"/>
      </rPr>
      <t xml:space="preserve">発送完了（</t>
    </r>
    <r>
      <rPr>
        <sz val="9"/>
        <rFont val="Yu Gothic"/>
        <family val="0"/>
        <charset val="1"/>
      </rPr>
      <t xml:space="preserve">6</t>
    </r>
    <r>
      <rPr>
        <sz val="9"/>
        <rFont val="WenQuanYi Zen Hei"/>
        <family val="2"/>
      </rPr>
      <t xml:space="preserve">件）</t>
    </r>
  </si>
  <si>
    <t xml:space="preserve">ギフトカード</t>
  </si>
  <si>
    <t xml:space="preserve">追加分</t>
  </si>
  <si>
    <t xml:space="preserve">小計</t>
  </si>
  <si>
    <t xml:space="preserve">消費税</t>
  </si>
  <si>
    <t xml:space="preserve">―</t>
  </si>
  <si>
    <t xml:space="preserve">税込価格のため内税</t>
  </si>
  <si>
    <t xml:space="preserve">合計（税込）</t>
  </si>
  <si>
    <t xml:space="preserve">【備考】</t>
  </si>
  <si>
    <r>
      <rPr>
        <sz val="9"/>
        <rFont val="WenQuanYi Zen Hei"/>
        <family val="2"/>
      </rPr>
      <t xml:space="preserve">・単価は </t>
    </r>
    <r>
      <rPr>
        <sz val="9"/>
        <rFont val="Yu Gothic"/>
        <family val="0"/>
        <charset val="1"/>
      </rPr>
      <t xml:space="preserve">TOKYO YAKINIKU INOUE Online Store </t>
    </r>
    <r>
      <rPr>
        <sz val="9"/>
        <rFont val="WenQuanYi Zen Hei"/>
        <family val="2"/>
      </rPr>
      <t xml:space="preserve">税込販売価格（出所：及川様・佐藤間メール「お中元住所」</t>
    </r>
    <r>
      <rPr>
        <sz val="9"/>
        <rFont val="Yu Gothic"/>
        <family val="0"/>
        <charset val="1"/>
      </rPr>
      <t xml:space="preserve">2026/7/7</t>
    </r>
    <r>
      <rPr>
        <sz val="9"/>
        <rFont val="WenQuanYi Zen Hei"/>
        <family val="2"/>
      </rPr>
      <t xml:space="preserve">）。</t>
    </r>
  </si>
  <si>
    <r>
      <rPr>
        <sz val="9"/>
        <rFont val="WenQuanYi Zen Hei"/>
        <family val="2"/>
      </rPr>
      <t xml:space="preserve">・</t>
    </r>
    <r>
      <rPr>
        <sz val="9"/>
        <rFont val="Yu Gothic"/>
        <family val="0"/>
        <charset val="1"/>
      </rPr>
      <t xml:space="preserve">2</t>
    </r>
    <r>
      <rPr>
        <sz val="9"/>
        <rFont val="WenQuanYi Zen Hei"/>
        <family val="2"/>
      </rPr>
      <t xml:space="preserve">人前セット</t>
    </r>
    <r>
      <rPr>
        <sz val="9"/>
        <rFont val="Yu Gothic"/>
        <family val="0"/>
        <charset val="1"/>
      </rPr>
      <t xml:space="preserve">6</t>
    </r>
    <r>
      <rPr>
        <sz val="9"/>
        <rFont val="WenQuanYi Zen Hei"/>
        <family val="2"/>
      </rPr>
      <t xml:space="preserve">件は</t>
    </r>
    <r>
      <rPr>
        <sz val="9"/>
        <rFont val="Yu Gothic"/>
        <family val="0"/>
        <charset val="1"/>
      </rPr>
      <t xml:space="preserve">2026</t>
    </r>
    <r>
      <rPr>
        <sz val="9"/>
        <rFont val="WenQuanYi Zen Hei"/>
        <family val="2"/>
      </rPr>
      <t xml:space="preserve">年</t>
    </r>
    <r>
      <rPr>
        <sz val="9"/>
        <rFont val="Yu Gothic"/>
        <family val="0"/>
        <charset val="1"/>
      </rPr>
      <t xml:space="preserve">7</t>
    </r>
    <r>
      <rPr>
        <sz val="9"/>
        <rFont val="WenQuanYi Zen Hei"/>
        <family val="2"/>
      </rPr>
      <t xml:space="preserve">月</t>
    </r>
    <r>
      <rPr>
        <sz val="9"/>
        <rFont val="Yu Gothic"/>
        <family val="0"/>
        <charset val="1"/>
      </rPr>
      <t xml:space="preserve">7</t>
    </r>
    <r>
      <rPr>
        <sz val="9"/>
        <rFont val="WenQuanYi Zen Hei"/>
        <family val="2"/>
      </rPr>
      <t xml:space="preserve">日に発送完了、及川様より売上計上の承認済み。</t>
    </r>
  </si>
  <si>
    <r>
      <rPr>
        <sz val="9"/>
        <rFont val="WenQuanYi Zen Hei"/>
        <family val="2"/>
      </rPr>
      <t xml:space="preserve">・ギフトカード（</t>
    </r>
    <r>
      <rPr>
        <sz val="9"/>
        <rFont val="Yu Gothic"/>
        <family val="0"/>
        <charset val="1"/>
      </rPr>
      <t xml:space="preserve">¥12,800×2</t>
    </r>
    <r>
      <rPr>
        <sz val="9"/>
        <rFont val="WenQuanYi Zen Hei"/>
        <family val="2"/>
      </rPr>
      <t xml:space="preserve">件）は追加手配分。</t>
    </r>
  </si>
  <si>
    <r>
      <rPr>
        <b val="true"/>
        <sz val="12"/>
        <rFont val="WenQuanYi Zen Hei"/>
        <family val="2"/>
      </rPr>
      <t xml:space="preserve">お中元 発送先内訳（</t>
    </r>
    <r>
      <rPr>
        <b val="true"/>
        <sz val="12"/>
        <rFont val="Yu Gothic"/>
        <family val="0"/>
        <charset val="1"/>
      </rPr>
      <t xml:space="preserve">2026</t>
    </r>
    <r>
      <rPr>
        <b val="true"/>
        <sz val="12"/>
        <rFont val="WenQuanYi Zen Hei"/>
        <family val="2"/>
      </rPr>
      <t xml:space="preserve">年・全</t>
    </r>
    <r>
      <rPr>
        <b val="true"/>
        <sz val="12"/>
        <rFont val="Yu Gothic"/>
        <family val="0"/>
        <charset val="1"/>
      </rPr>
      <t xml:space="preserve">6</t>
    </r>
    <r>
      <rPr>
        <b val="true"/>
        <sz val="12"/>
        <rFont val="WenQuanYi Zen Hei"/>
        <family val="2"/>
      </rPr>
      <t xml:space="preserve">件）</t>
    </r>
  </si>
  <si>
    <r>
      <rPr>
        <sz val="9"/>
        <rFont val="WenQuanYi Zen Hei"/>
        <family val="2"/>
      </rPr>
      <t xml:space="preserve">出所：及川様メール「お中元住所」（</t>
    </r>
    <r>
      <rPr>
        <sz val="9"/>
        <rFont val="Yu Gothic"/>
        <family val="0"/>
        <charset val="1"/>
      </rPr>
      <t xml:space="preserve">2026/6/25</t>
    </r>
    <r>
      <rPr>
        <sz val="9"/>
        <rFont val="WenQuanYi Zen Hei"/>
        <family val="2"/>
      </rPr>
      <t xml:space="preserve">）</t>
    </r>
  </si>
  <si>
    <t xml:space="preserve">氏名</t>
  </si>
  <si>
    <t xml:space="preserve">郵便番号</t>
  </si>
  <si>
    <t xml:space="preserve">住所</t>
  </si>
  <si>
    <t xml:space="preserve">役職名</t>
  </si>
  <si>
    <t xml:space="preserve">会社名</t>
  </si>
  <si>
    <t xml:space="preserve">藤堂 敦</t>
  </si>
  <si>
    <t xml:space="preserve">190-0012</t>
  </si>
  <si>
    <r>
      <rPr>
        <sz val="10"/>
        <rFont val="WenQuanYi Zen Hei"/>
        <family val="2"/>
      </rPr>
      <t xml:space="preserve">東京都立川市曙町</t>
    </r>
    <r>
      <rPr>
        <sz val="10"/>
        <rFont val="Yu Gothic"/>
        <family val="0"/>
        <charset val="1"/>
      </rPr>
      <t xml:space="preserve">1-31-1</t>
    </r>
    <r>
      <rPr>
        <sz val="10"/>
        <rFont val="WenQuanYi Zen Hei"/>
        <family val="2"/>
      </rPr>
      <t xml:space="preserve">カーロビル</t>
    </r>
  </si>
  <si>
    <t xml:space="preserve">個人宛</t>
  </si>
  <si>
    <t xml:space="preserve">深沢 昇</t>
  </si>
  <si>
    <t xml:space="preserve">185-0012</t>
  </si>
  <si>
    <r>
      <rPr>
        <sz val="10"/>
        <rFont val="WenQuanYi Zen Hei"/>
        <family val="2"/>
      </rPr>
      <t xml:space="preserve">東京都国分寺市本町</t>
    </r>
    <r>
      <rPr>
        <sz val="10"/>
        <rFont val="Yu Gothic"/>
        <family val="0"/>
        <charset val="1"/>
      </rPr>
      <t xml:space="preserve">3-7-31</t>
    </r>
  </si>
  <si>
    <t xml:space="preserve">代表取締役</t>
  </si>
  <si>
    <t xml:space="preserve">有限会社 美津八</t>
  </si>
  <si>
    <t xml:space="preserve">久米 雅史</t>
  </si>
  <si>
    <t xml:space="preserve">900-0021</t>
  </si>
  <si>
    <r>
      <rPr>
        <sz val="10"/>
        <rFont val="WenQuanYi Zen Hei"/>
        <family val="2"/>
      </rPr>
      <t xml:space="preserve">沖縄県那覇市泉崎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丁目</t>
    </r>
    <r>
      <rPr>
        <sz val="10"/>
        <rFont val="Yu Gothic"/>
        <family val="0"/>
        <charset val="1"/>
      </rPr>
      <t xml:space="preserve">22</t>
    </r>
    <r>
      <rPr>
        <sz val="10"/>
        <rFont val="WenQuanYi Zen Hei"/>
        <family val="2"/>
      </rPr>
      <t xml:space="preserve">番</t>
    </r>
    <r>
      <rPr>
        <sz val="10"/>
        <rFont val="Yu Gothic"/>
        <family val="0"/>
        <charset val="1"/>
      </rPr>
      <t xml:space="preserve">4</t>
    </r>
    <r>
      <rPr>
        <sz val="10"/>
        <rFont val="WenQuanYi Zen Hei"/>
        <family val="2"/>
      </rPr>
      <t xml:space="preserve">号</t>
    </r>
    <r>
      <rPr>
        <sz val="10"/>
        <rFont val="Yu Gothic"/>
        <family val="0"/>
        <charset val="1"/>
      </rPr>
      <t xml:space="preserve">K'S</t>
    </r>
    <r>
      <rPr>
        <sz val="10"/>
        <rFont val="WenQuanYi Zen Hei"/>
        <family val="2"/>
      </rPr>
      <t xml:space="preserve">ビル</t>
    </r>
    <r>
      <rPr>
        <sz val="10"/>
        <rFont val="Yu Gothic"/>
        <family val="0"/>
        <charset val="1"/>
      </rPr>
      <t xml:space="preserve">203</t>
    </r>
    <r>
      <rPr>
        <sz val="10"/>
        <rFont val="WenQuanYi Zen Hei"/>
        <family val="2"/>
      </rPr>
      <t xml:space="preserve">号</t>
    </r>
  </si>
  <si>
    <t xml:space="preserve">弁護士</t>
  </si>
  <si>
    <t xml:space="preserve">久米総合法律事務所</t>
  </si>
  <si>
    <t xml:space="preserve">渡邉 裕</t>
  </si>
  <si>
    <t xml:space="preserve">190-0022</t>
  </si>
  <si>
    <r>
      <rPr>
        <sz val="10"/>
        <rFont val="WenQuanYi Zen Hei"/>
        <family val="2"/>
      </rPr>
      <t xml:space="preserve">東京都立川市錦町</t>
    </r>
    <r>
      <rPr>
        <sz val="10"/>
        <rFont val="Yu Gothic"/>
        <family val="0"/>
        <charset val="1"/>
      </rPr>
      <t xml:space="preserve">2-4-3</t>
    </r>
  </si>
  <si>
    <t xml:space="preserve">株式会社ライズウェル</t>
  </si>
  <si>
    <t xml:space="preserve">金森 和博</t>
  </si>
  <si>
    <t xml:space="preserve">190-0021</t>
  </si>
  <si>
    <r>
      <rPr>
        <sz val="10"/>
        <rFont val="WenQuanYi Zen Hei"/>
        <family val="2"/>
      </rPr>
      <t xml:space="preserve">東京都立川市羽衣町</t>
    </r>
    <r>
      <rPr>
        <sz val="10"/>
        <rFont val="Yu Gothic"/>
        <family val="0"/>
        <charset val="1"/>
      </rPr>
      <t xml:space="preserve">2-4-4</t>
    </r>
    <r>
      <rPr>
        <sz val="10"/>
        <rFont val="WenQuanYi Zen Hei"/>
        <family val="2"/>
      </rPr>
      <t xml:space="preserve">モナークキャッスル</t>
    </r>
    <r>
      <rPr>
        <sz val="10"/>
        <rFont val="Yu Gothic"/>
        <family val="0"/>
        <charset val="1"/>
      </rPr>
      <t xml:space="preserve">201</t>
    </r>
  </si>
  <si>
    <t xml:space="preserve">ゴールドフォレスト株式会社</t>
  </si>
  <si>
    <t xml:space="preserve">岡村 賢智</t>
  </si>
  <si>
    <t xml:space="preserve">900-0033</t>
  </si>
  <si>
    <r>
      <rPr>
        <sz val="10"/>
        <rFont val="WenQuanYi Zen Hei"/>
        <family val="2"/>
      </rPr>
      <t xml:space="preserve">沖縄県那覇市久米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丁目</t>
    </r>
    <r>
      <rPr>
        <sz val="10"/>
        <rFont val="Yu Gothic"/>
        <family val="0"/>
        <charset val="1"/>
      </rPr>
      <t xml:space="preserve">15</t>
    </r>
    <r>
      <rPr>
        <sz val="10"/>
        <rFont val="WenQuanYi Zen Hei"/>
        <family val="2"/>
      </rPr>
      <t xml:space="preserve">番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号（久米第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ビル）</t>
    </r>
  </si>
  <si>
    <t xml:space="preserve">チーフプランナー</t>
  </si>
  <si>
    <t xml:space="preserve">株式会社アートマン計画事務所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</si>
</sst>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¥#,##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WenQuanYi Zen Hei"/>
      <family val="2"/>
    </font>
    <font>
      <sz val="11"/>
      <name val="WenQuanYi Zen Hei"/>
      <family val="2"/>
    </font>
    <font>
      <sz val="11"/>
      <name val="Yu Gothic"/>
      <family val="0"/>
      <charset val="1"/>
    </font>
    <font>
      <b val="true"/>
      <sz val="13"/>
      <name val="WenQuanYi Zen Hei"/>
      <family val="2"/>
    </font>
    <font>
      <sz val="10"/>
      <name val="WenQuanYi Zen Hei"/>
      <family val="2"/>
    </font>
    <font>
      <sz val="10"/>
      <name val="Yu Gothic"/>
      <family val="0"/>
      <charset val="1"/>
    </font>
    <font>
      <b val="true"/>
      <sz val="11"/>
      <name val="WenQuanYi Zen Hei"/>
      <family val="2"/>
    </font>
    <font>
      <b val="true"/>
      <sz val="11"/>
      <name val="Yu Gothic"/>
      <family val="0"/>
      <charset val="1"/>
    </font>
    <font>
      <b val="true"/>
      <sz val="12"/>
      <name val="WenQuanYi Zen Hei"/>
      <family val="2"/>
    </font>
    <font>
      <b val="true"/>
      <sz val="14"/>
      <name val="Yu Gothic"/>
      <family val="0"/>
      <charset val="1"/>
    </font>
    <font>
      <sz val="9"/>
      <name val="Yu Gothic"/>
      <family val="0"/>
      <charset val="1"/>
    </font>
    <font>
      <sz val="9"/>
      <name val="WenQuanYi Zen Hei"/>
      <family val="2"/>
    </font>
    <font>
      <b val="true"/>
      <sz val="12"/>
      <name val="Yu Gothic"/>
      <family val="0"/>
      <charset val="1"/>
    </font>
    <font>
      <b val="true"/>
      <sz val="10"/>
      <name val="Yu Gothic"/>
      <family val="0"/>
      <charset val="1"/>
    </font>
    <font>
      <b val="true"/>
      <sz val="10"/>
      <name val="WenQuanYi Zen Hei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5" hidden="false" customHeight="false" outlineLevel="0" collapsed="false">
      <c r="E3" s="2" t="s">
        <v>1</v>
      </c>
      <c r="F3" s="3" t="s">
        <v>2</v>
      </c>
    </row>
    <row r="4" customFormat="false" ht="15" hidden="false" customHeight="false" outlineLevel="0" collapsed="false">
      <c r="E4" s="2" t="s">
        <v>3</v>
      </c>
      <c r="F4" s="3" t="s">
        <v>4</v>
      </c>
    </row>
    <row r="6" customFormat="false" ht="16.15" hidden="false" customHeight="false" outlineLevel="0" collapsed="false">
      <c r="A6" s="4" t="s">
        <v>5</v>
      </c>
      <c r="B6" s="4"/>
      <c r="C6" s="4"/>
      <c r="E6" s="5" t="s">
        <v>6</v>
      </c>
      <c r="F6" s="5"/>
    </row>
    <row r="7" customFormat="false" ht="16.15" hidden="false" customHeight="false" outlineLevel="0" collapsed="false">
      <c r="A7" s="4" t="s">
        <v>7</v>
      </c>
      <c r="B7" s="4"/>
      <c r="C7" s="4"/>
      <c r="E7" s="5" t="s">
        <v>8</v>
      </c>
      <c r="F7" s="5"/>
    </row>
    <row r="8" customFormat="false" ht="15" hidden="false" customHeight="false" outlineLevel="0" collapsed="false">
      <c r="E8" s="5" t="s">
        <v>9</v>
      </c>
      <c r="F8" s="5"/>
    </row>
    <row r="9" customFormat="false" ht="15" hidden="false" customHeight="false" outlineLevel="0" collapsed="false">
      <c r="E9" s="5" t="s">
        <v>10</v>
      </c>
      <c r="F9" s="5"/>
    </row>
    <row r="10" customFormat="false" ht="15" hidden="false" customHeight="false" outlineLevel="0" collapsed="false">
      <c r="E10" s="6" t="s">
        <v>11</v>
      </c>
      <c r="F10" s="6"/>
    </row>
    <row r="11" customFormat="false" ht="15" hidden="false" customHeight="false" outlineLevel="0" collapsed="false">
      <c r="E11" s="6" t="s">
        <v>12</v>
      </c>
      <c r="F11" s="6"/>
    </row>
    <row r="13" customFormat="false" ht="15" hidden="false" customHeight="false" outlineLevel="0" collapsed="false">
      <c r="A13" s="7" t="s">
        <v>13</v>
      </c>
    </row>
    <row r="15" customFormat="false" ht="17.35" hidden="false" customHeight="false" outlineLevel="0" collapsed="false">
      <c r="A15" s="8" t="s">
        <v>14</v>
      </c>
      <c r="B15" s="9" t="n">
        <f aca="false">E26</f>
        <v>67480</v>
      </c>
      <c r="C15" s="9"/>
      <c r="D15" s="10" t="s">
        <v>15</v>
      </c>
    </row>
    <row r="17" customFormat="false" ht="15" hidden="false" customHeight="false" outlineLevel="0" collapsed="false">
      <c r="A17" s="11" t="s">
        <v>16</v>
      </c>
      <c r="B17" s="12" t="s">
        <v>17</v>
      </c>
      <c r="C17" s="12" t="s">
        <v>18</v>
      </c>
      <c r="D17" s="12" t="s">
        <v>19</v>
      </c>
      <c r="E17" s="12" t="s">
        <v>20</v>
      </c>
      <c r="F17" s="12" t="s">
        <v>21</v>
      </c>
    </row>
    <row r="18" customFormat="false" ht="15" hidden="false" customHeight="false" outlineLevel="0" collapsed="false">
      <c r="A18" s="13" t="n">
        <v>1</v>
      </c>
      <c r="B18" s="14" t="s">
        <v>22</v>
      </c>
      <c r="C18" s="15" t="n">
        <v>6980</v>
      </c>
      <c r="D18" s="13" t="n">
        <v>6</v>
      </c>
      <c r="E18" s="15" t="n">
        <f aca="false">C18*D18</f>
        <v>41880</v>
      </c>
      <c r="F18" s="16" t="s">
        <v>23</v>
      </c>
    </row>
    <row r="19" customFormat="false" ht="15" hidden="false" customHeight="false" outlineLevel="0" collapsed="false">
      <c r="A19" s="13" t="n">
        <v>2</v>
      </c>
      <c r="B19" s="14" t="s">
        <v>24</v>
      </c>
      <c r="C19" s="15" t="n">
        <v>12800</v>
      </c>
      <c r="D19" s="13" t="n">
        <v>2</v>
      </c>
      <c r="E19" s="15" t="n">
        <f aca="false">C19*D19</f>
        <v>25600</v>
      </c>
      <c r="F19" s="17" t="s">
        <v>25</v>
      </c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</row>
    <row r="24" customFormat="false" ht="15" hidden="false" customHeight="false" outlineLevel="0" collapsed="false">
      <c r="D24" s="12" t="s">
        <v>26</v>
      </c>
      <c r="E24" s="15" t="n">
        <f aca="false">SUM(E18:E21)</f>
        <v>67480</v>
      </c>
      <c r="F24" s="18"/>
    </row>
    <row r="25" customFormat="false" ht="15" hidden="false" customHeight="false" outlineLevel="0" collapsed="false">
      <c r="D25" s="12" t="s">
        <v>27</v>
      </c>
      <c r="E25" s="13" t="s">
        <v>28</v>
      </c>
      <c r="F25" s="17" t="s">
        <v>29</v>
      </c>
    </row>
    <row r="26" customFormat="false" ht="15" hidden="false" customHeight="false" outlineLevel="0" collapsed="false">
      <c r="D26" s="12" t="s">
        <v>30</v>
      </c>
      <c r="E26" s="19" t="n">
        <f aca="false">E24</f>
        <v>67480</v>
      </c>
      <c r="F26" s="18"/>
    </row>
    <row r="28" customFormat="false" ht="15" hidden="false" customHeight="false" outlineLevel="0" collapsed="false">
      <c r="A28" s="20" t="s">
        <v>31</v>
      </c>
      <c r="B28" s="20"/>
      <c r="C28" s="20"/>
      <c r="D28" s="20"/>
      <c r="E28" s="20"/>
      <c r="F28" s="20"/>
    </row>
    <row r="29" customFormat="false" ht="13.4" hidden="false" customHeight="false" outlineLevel="0" collapsed="false">
      <c r="A29" s="20" t="s">
        <v>32</v>
      </c>
      <c r="B29" s="20"/>
      <c r="C29" s="20"/>
      <c r="D29" s="20"/>
      <c r="E29" s="20"/>
      <c r="F29" s="20"/>
    </row>
    <row r="30" customFormat="false" ht="13.4" hidden="false" customHeight="false" outlineLevel="0" collapsed="false">
      <c r="A30" s="20" t="s">
        <v>33</v>
      </c>
      <c r="B30" s="20"/>
      <c r="C30" s="20"/>
      <c r="D30" s="20"/>
      <c r="E30" s="20"/>
      <c r="F30" s="20"/>
    </row>
    <row r="31" customFormat="false" ht="13.4" hidden="false" customHeight="false" outlineLevel="0" collapsed="false">
      <c r="A31" s="20" t="s">
        <v>34</v>
      </c>
      <c r="B31" s="20"/>
      <c r="C31" s="20"/>
      <c r="D31" s="20"/>
      <c r="E31" s="20"/>
      <c r="F31" s="20"/>
    </row>
  </sheetData>
  <mergeCells count="14">
    <mergeCell ref="A1:F1"/>
    <mergeCell ref="A6:C6"/>
    <mergeCell ref="E6:F6"/>
    <mergeCell ref="A7:C7"/>
    <mergeCell ref="E7:F7"/>
    <mergeCell ref="E8:F8"/>
    <mergeCell ref="E9:F9"/>
    <mergeCell ref="E10:F10"/>
    <mergeCell ref="E11:F11"/>
    <mergeCell ref="B15:C15"/>
    <mergeCell ref="A28:F28"/>
    <mergeCell ref="A29:F29"/>
    <mergeCell ref="A30:F30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42"/>
    <col collapsed="false" customWidth="true" hidden="false" outlineLevel="0" max="5" min="5" style="0" width="14"/>
    <col collapsed="false" customWidth="true" hidden="false" outlineLevel="0" max="6" min="6" style="0" width="24"/>
    <col collapsed="false" customWidth="true" hidden="false" outlineLevel="0" max="7" min="7" style="0" width="10"/>
  </cols>
  <sheetData>
    <row r="1" customFormat="false" ht="16.4" hidden="false" customHeight="false" outlineLevel="0" collapsed="false">
      <c r="A1" s="8" t="s">
        <v>35</v>
      </c>
    </row>
    <row r="2" customFormat="false" ht="15" hidden="false" customHeight="false" outlineLevel="0" collapsed="false">
      <c r="A2" s="21" t="s">
        <v>36</v>
      </c>
    </row>
    <row r="4" customFormat="false" ht="15" hidden="false" customHeight="false" outlineLevel="0" collapsed="false">
      <c r="A4" s="22" t="s">
        <v>16</v>
      </c>
      <c r="B4" s="23" t="s">
        <v>37</v>
      </c>
      <c r="C4" s="23" t="s">
        <v>38</v>
      </c>
      <c r="D4" s="23" t="s">
        <v>39</v>
      </c>
      <c r="E4" s="23" t="s">
        <v>40</v>
      </c>
      <c r="F4" s="23" t="s">
        <v>41</v>
      </c>
      <c r="G4" s="23" t="s">
        <v>21</v>
      </c>
    </row>
    <row r="5" customFormat="false" ht="15" hidden="false" customHeight="false" outlineLevel="0" collapsed="false">
      <c r="A5" s="24" t="n">
        <v>1</v>
      </c>
      <c r="B5" s="14" t="s">
        <v>42</v>
      </c>
      <c r="C5" s="24" t="s">
        <v>43</v>
      </c>
      <c r="D5" s="14" t="s">
        <v>44</v>
      </c>
      <c r="E5" s="14"/>
      <c r="F5" s="14"/>
      <c r="G5" s="14" t="s">
        <v>45</v>
      </c>
    </row>
    <row r="6" customFormat="false" ht="15" hidden="false" customHeight="false" outlineLevel="0" collapsed="false">
      <c r="A6" s="24" t="n">
        <v>2</v>
      </c>
      <c r="B6" s="14" t="s">
        <v>46</v>
      </c>
      <c r="C6" s="24" t="s">
        <v>47</v>
      </c>
      <c r="D6" s="14" t="s">
        <v>48</v>
      </c>
      <c r="E6" s="14" t="s">
        <v>49</v>
      </c>
      <c r="F6" s="14" t="s">
        <v>50</v>
      </c>
      <c r="G6" s="14"/>
    </row>
    <row r="7" customFormat="false" ht="15" hidden="false" customHeight="false" outlineLevel="0" collapsed="false">
      <c r="A7" s="24" t="n">
        <v>3</v>
      </c>
      <c r="B7" s="14" t="s">
        <v>51</v>
      </c>
      <c r="C7" s="24" t="s">
        <v>52</v>
      </c>
      <c r="D7" s="14" t="s">
        <v>53</v>
      </c>
      <c r="E7" s="14" t="s">
        <v>54</v>
      </c>
      <c r="F7" s="14" t="s">
        <v>55</v>
      </c>
      <c r="G7" s="14"/>
    </row>
    <row r="8" customFormat="false" ht="15" hidden="false" customHeight="false" outlineLevel="0" collapsed="false">
      <c r="A8" s="24" t="n">
        <v>4</v>
      </c>
      <c r="B8" s="14" t="s">
        <v>56</v>
      </c>
      <c r="C8" s="24" t="s">
        <v>57</v>
      </c>
      <c r="D8" s="14" t="s">
        <v>58</v>
      </c>
      <c r="E8" s="14" t="s">
        <v>49</v>
      </c>
      <c r="F8" s="14" t="s">
        <v>59</v>
      </c>
      <c r="G8" s="14"/>
    </row>
    <row r="9" customFormat="false" ht="15" hidden="false" customHeight="false" outlineLevel="0" collapsed="false">
      <c r="A9" s="24" t="n">
        <v>5</v>
      </c>
      <c r="B9" s="14" t="s">
        <v>60</v>
      </c>
      <c r="C9" s="24" t="s">
        <v>61</v>
      </c>
      <c r="D9" s="14" t="s">
        <v>62</v>
      </c>
      <c r="E9" s="14" t="s">
        <v>49</v>
      </c>
      <c r="F9" s="14" t="s">
        <v>63</v>
      </c>
      <c r="G9" s="14"/>
    </row>
    <row r="10" customFormat="false" ht="15" hidden="false" customHeight="false" outlineLevel="0" collapsed="false">
      <c r="A10" s="24" t="n">
        <v>6</v>
      </c>
      <c r="B10" s="14" t="s">
        <v>64</v>
      </c>
      <c r="C10" s="24" t="s">
        <v>65</v>
      </c>
      <c r="D10" s="14" t="s">
        <v>66</v>
      </c>
      <c r="E10" s="14" t="s">
        <v>67</v>
      </c>
      <c r="F10" s="14" t="s">
        <v>68</v>
      </c>
      <c r="G10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2026-07-25T00:10:26Z</dcterms:created>
  <dc:creator>openpyxl</dc:creator>
  <dc:description/>
  <dc:language>en-US</dc:language>
  <cp:lastModifiedBy/>
  <dcterms:modified xsi:type="dcterms:W3CDTF">2026-07-25T00:10:26Z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