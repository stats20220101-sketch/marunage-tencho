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請求書" sheetId="1" state="visible" r:id="rId3"/>
    <sheet name="発送先内訳"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<sst xmlns="http://schemas.openxmlformats.org/spreadsheetml/2006/main" count="76" uniqueCount="71">
  <si>
    <t xml:space="preserve">請　求　書（社内）</t>
  </si>
  <si>
    <t xml:space="preserve">発行日：</t>
  </si>
  <si>
    <r>
      <rPr>
        <sz val="11"/>
        <rFont val="Yu Gothic"/>
        <family val="0"/>
        <charset val="1"/>
      </rPr>
      <t xml:space="preserve">2026</t>
    </r>
    <r>
      <rPr>
        <sz val="11"/>
        <rFont val="WenQuanYi Zen Hei"/>
        <family val="2"/>
      </rPr>
      <t xml:space="preserve">年</t>
    </r>
    <r>
      <rPr>
        <sz val="11"/>
        <rFont val="Yu Gothic"/>
        <family val="0"/>
        <charset val="1"/>
      </rPr>
      <t xml:space="preserve">7</t>
    </r>
    <r>
      <rPr>
        <sz val="11"/>
        <rFont val="WenQuanYi Zen Hei"/>
        <family val="2"/>
      </rPr>
      <t xml:space="preserve">月</t>
    </r>
    <r>
      <rPr>
        <sz val="11"/>
        <rFont val="Yu Gothic"/>
        <family val="0"/>
        <charset val="1"/>
      </rPr>
      <t xml:space="preserve">25</t>
    </r>
    <r>
      <rPr>
        <sz val="11"/>
        <rFont val="WenQuanYi Zen Hei"/>
        <family val="2"/>
      </rPr>
      <t xml:space="preserve">日</t>
    </r>
  </si>
  <si>
    <r>
      <rPr>
        <sz val="11"/>
        <rFont val="WenQuanYi Zen Hei"/>
        <family val="2"/>
      </rPr>
      <t xml:space="preserve">請求書</t>
    </r>
    <r>
      <rPr>
        <sz val="11"/>
        <rFont val="Yu Gothic"/>
        <family val="0"/>
        <charset val="1"/>
      </rPr>
      <t xml:space="preserve">No</t>
    </r>
    <r>
      <rPr>
        <sz val="11"/>
        <rFont val="WenQuanYi Zen Hei"/>
        <family val="2"/>
      </rPr>
      <t xml:space="preserve">：</t>
    </r>
  </si>
  <si>
    <t xml:space="preserve">IT-20260725-01</t>
  </si>
  <si>
    <t xml:space="preserve">株式会社アイティープラス　事務所</t>
  </si>
  <si>
    <t xml:space="preserve">株式会社アイティープラス</t>
  </si>
  <si>
    <t xml:space="preserve">及川 里美 様</t>
  </si>
  <si>
    <r>
      <rPr>
        <sz val="10"/>
        <rFont val="WenQuanYi Zen Hei"/>
        <family val="2"/>
      </rPr>
      <t xml:space="preserve">広報・人事・</t>
    </r>
    <r>
      <rPr>
        <sz val="10"/>
        <rFont val="Yu Gothic"/>
        <family val="0"/>
        <charset val="1"/>
      </rPr>
      <t xml:space="preserve">EC</t>
    </r>
    <r>
      <rPr>
        <sz val="10"/>
        <rFont val="WenQuanYi Zen Hei"/>
        <family val="2"/>
      </rPr>
      <t xml:space="preserve">担当　佐藤 淳</t>
    </r>
  </si>
  <si>
    <r>
      <rPr>
        <sz val="10"/>
        <rFont val="WenQuanYi Zen Hei"/>
        <family val="2"/>
      </rPr>
      <t xml:space="preserve">〒</t>
    </r>
    <r>
      <rPr>
        <sz val="10"/>
        <rFont val="Yu Gothic"/>
        <family val="0"/>
        <charset val="1"/>
      </rPr>
      <t xml:space="preserve">185-0012 </t>
    </r>
    <r>
      <rPr>
        <sz val="10"/>
        <rFont val="WenQuanYi Zen Hei"/>
        <family val="2"/>
      </rPr>
      <t xml:space="preserve">東京都国分寺市本町</t>
    </r>
    <r>
      <rPr>
        <sz val="10"/>
        <rFont val="Yu Gothic"/>
        <family val="0"/>
        <charset val="1"/>
      </rPr>
      <t xml:space="preserve">1-5-12</t>
    </r>
  </si>
  <si>
    <r>
      <rPr>
        <sz val="10"/>
        <rFont val="WenQuanYi Zen Hei"/>
        <family val="2"/>
      </rPr>
      <t xml:space="preserve">ツインリーフ国分寺</t>
    </r>
    <r>
      <rPr>
        <sz val="10"/>
        <rFont val="Yu Gothic"/>
        <family val="0"/>
        <charset val="1"/>
      </rPr>
      <t xml:space="preserve">2F</t>
    </r>
  </si>
  <si>
    <t xml:space="preserve">TEL 042-300-3330 / FAX 042-300-3331</t>
  </si>
  <si>
    <t xml:space="preserve">Mail: a.sato@it-plus.jp</t>
  </si>
  <si>
    <r>
      <rPr>
        <b val="true"/>
        <sz val="11"/>
        <rFont val="WenQuanYi Zen Hei"/>
        <family val="2"/>
      </rPr>
      <t xml:space="preserve">件名：お中元発送費用（</t>
    </r>
    <r>
      <rPr>
        <b val="true"/>
        <sz val="11"/>
        <rFont val="Yu Gothic"/>
        <family val="0"/>
        <charset val="1"/>
      </rPr>
      <t xml:space="preserve">2026</t>
    </r>
    <r>
      <rPr>
        <b val="true"/>
        <sz val="11"/>
        <rFont val="WenQuanYi Zen Hei"/>
        <family val="2"/>
      </rPr>
      <t xml:space="preserve">年）</t>
    </r>
  </si>
  <si>
    <t xml:space="preserve">ご請求金額</t>
  </si>
  <si>
    <t xml:space="preserve">（税込）</t>
  </si>
  <si>
    <t xml:space="preserve">No.</t>
  </si>
  <si>
    <t xml:space="preserve">品目</t>
  </si>
  <si>
    <t xml:space="preserve">単価（税込）</t>
  </si>
  <si>
    <t xml:space="preserve">数量</t>
  </si>
  <si>
    <t xml:space="preserve">金額（税込）</t>
  </si>
  <si>
    <t xml:space="preserve">税率</t>
  </si>
  <si>
    <t xml:space="preserve">備考</t>
  </si>
  <si>
    <r>
      <rPr>
        <sz val="10"/>
        <rFont val="WenQuanYi Zen Hei"/>
        <family val="2"/>
      </rPr>
      <t xml:space="preserve">お中元ギフト　</t>
    </r>
    <r>
      <rPr>
        <sz val="10"/>
        <rFont val="Yu Gothic"/>
        <family val="0"/>
        <charset val="1"/>
      </rPr>
      <t xml:space="preserve">2</t>
    </r>
    <r>
      <rPr>
        <sz val="10"/>
        <rFont val="WenQuanYi Zen Hei"/>
        <family val="2"/>
      </rPr>
      <t xml:space="preserve">人前セット（ギフトカード</t>
    </r>
    <r>
      <rPr>
        <sz val="10"/>
        <rFont val="Yu Gothic"/>
        <family val="0"/>
        <charset val="1"/>
      </rPr>
      <t xml:space="preserve">2</t>
    </r>
    <r>
      <rPr>
        <sz val="10"/>
        <rFont val="WenQuanYi Zen Hei"/>
        <family val="2"/>
      </rPr>
      <t xml:space="preserve">人前）</t>
    </r>
  </si>
  <si>
    <r>
      <rPr>
        <sz val="9"/>
        <rFont val="Yu Gothic"/>
        <family val="0"/>
        <charset val="1"/>
      </rPr>
      <t xml:space="preserve">8%</t>
    </r>
    <r>
      <rPr>
        <sz val="9"/>
        <rFont val="WenQuanYi Zen Hei"/>
        <family val="2"/>
      </rPr>
      <t xml:space="preserve">（軽減）</t>
    </r>
  </si>
  <si>
    <r>
      <rPr>
        <sz val="9"/>
        <rFont val="Yu Gothic"/>
        <family val="0"/>
        <charset val="1"/>
      </rPr>
      <t xml:space="preserve">2026/7/7 </t>
    </r>
    <r>
      <rPr>
        <sz val="9"/>
        <rFont val="WenQuanYi Zen Hei"/>
        <family val="2"/>
      </rPr>
      <t xml:space="preserve">発送完了（</t>
    </r>
    <r>
      <rPr>
        <sz val="9"/>
        <rFont val="Yu Gothic"/>
        <family val="0"/>
        <charset val="1"/>
      </rPr>
      <t xml:space="preserve">6</t>
    </r>
    <r>
      <rPr>
        <sz val="9"/>
        <rFont val="WenQuanYi Zen Hei"/>
        <family val="2"/>
      </rPr>
      <t xml:space="preserve">件）</t>
    </r>
  </si>
  <si>
    <t xml:space="preserve">ギフトカード</t>
  </si>
  <si>
    <t xml:space="preserve">追加分</t>
  </si>
  <si>
    <t xml:space="preserve">小計（税込）</t>
  </si>
  <si>
    <r>
      <rPr>
        <b val="true"/>
        <sz val="10"/>
        <rFont val="WenQuanYi Zen Hei"/>
        <family val="2"/>
      </rPr>
      <t xml:space="preserve">内消費税額（</t>
    </r>
    <r>
      <rPr>
        <b val="true"/>
        <sz val="10"/>
        <rFont val="Yu Gothic"/>
        <family val="0"/>
        <charset val="1"/>
      </rPr>
      <t xml:space="preserve">8%</t>
    </r>
    <r>
      <rPr>
        <b val="true"/>
        <sz val="10"/>
        <rFont val="WenQuanYi Zen Hei"/>
        <family val="2"/>
      </rPr>
      <t xml:space="preserve">）</t>
    </r>
  </si>
  <si>
    <r>
      <rPr>
        <sz val="8"/>
        <rFont val="WenQuanYi Zen Hei"/>
        <family val="2"/>
      </rPr>
      <t xml:space="preserve">税込金額</t>
    </r>
    <r>
      <rPr>
        <sz val="8"/>
        <rFont val="Yu Gothic"/>
        <family val="0"/>
        <charset val="1"/>
      </rPr>
      <t xml:space="preserve">×8/108</t>
    </r>
    <r>
      <rPr>
        <sz val="8"/>
        <rFont val="WenQuanYi Zen Hei"/>
        <family val="2"/>
      </rPr>
      <t xml:space="preserve">（円未満切捨て）</t>
    </r>
  </si>
  <si>
    <t xml:space="preserve">合計（税込）</t>
  </si>
  <si>
    <t xml:space="preserve">【備考】</t>
  </si>
  <si>
    <r>
      <rPr>
        <sz val="9"/>
        <rFont val="WenQuanYi Zen Hei"/>
        <family val="2"/>
      </rPr>
      <t xml:space="preserve">・単価は </t>
    </r>
    <r>
      <rPr>
        <sz val="9"/>
        <rFont val="Yu Gothic"/>
        <family val="0"/>
        <charset val="1"/>
      </rPr>
      <t xml:space="preserve">TOKYO YAKINIKU INOUE Online Store </t>
    </r>
    <r>
      <rPr>
        <sz val="9"/>
        <rFont val="WenQuanYi Zen Hei"/>
        <family val="2"/>
      </rPr>
      <t xml:space="preserve">税込販売価格（出所：及川様・佐藤間メール「お中元住所」</t>
    </r>
    <r>
      <rPr>
        <sz val="9"/>
        <rFont val="Yu Gothic"/>
        <family val="0"/>
        <charset val="1"/>
      </rPr>
      <t xml:space="preserve">2026/7/7</t>
    </r>
    <r>
      <rPr>
        <sz val="9"/>
        <rFont val="WenQuanYi Zen Hei"/>
        <family val="2"/>
      </rPr>
      <t xml:space="preserve">）。</t>
    </r>
  </si>
  <si>
    <r>
      <rPr>
        <sz val="9"/>
        <rFont val="WenQuanYi Zen Hei"/>
        <family val="2"/>
      </rPr>
      <t xml:space="preserve">・</t>
    </r>
    <r>
      <rPr>
        <sz val="9"/>
        <rFont val="Yu Gothic"/>
        <family val="0"/>
        <charset val="1"/>
      </rPr>
      <t xml:space="preserve">2</t>
    </r>
    <r>
      <rPr>
        <sz val="9"/>
        <rFont val="WenQuanYi Zen Hei"/>
        <family val="2"/>
      </rPr>
      <t xml:space="preserve">人前セット</t>
    </r>
    <r>
      <rPr>
        <sz val="9"/>
        <rFont val="Yu Gothic"/>
        <family val="0"/>
        <charset val="1"/>
      </rPr>
      <t xml:space="preserve">6</t>
    </r>
    <r>
      <rPr>
        <sz val="9"/>
        <rFont val="WenQuanYi Zen Hei"/>
        <family val="2"/>
      </rPr>
      <t xml:space="preserve">件は</t>
    </r>
    <r>
      <rPr>
        <sz val="9"/>
        <rFont val="Yu Gothic"/>
        <family val="0"/>
        <charset val="1"/>
      </rPr>
      <t xml:space="preserve">2026</t>
    </r>
    <r>
      <rPr>
        <sz val="9"/>
        <rFont val="WenQuanYi Zen Hei"/>
        <family val="2"/>
      </rPr>
      <t xml:space="preserve">年</t>
    </r>
    <r>
      <rPr>
        <sz val="9"/>
        <rFont val="Yu Gothic"/>
        <family val="0"/>
        <charset val="1"/>
      </rPr>
      <t xml:space="preserve">7</t>
    </r>
    <r>
      <rPr>
        <sz val="9"/>
        <rFont val="WenQuanYi Zen Hei"/>
        <family val="2"/>
      </rPr>
      <t xml:space="preserve">月</t>
    </r>
    <r>
      <rPr>
        <sz val="9"/>
        <rFont val="Yu Gothic"/>
        <family val="0"/>
        <charset val="1"/>
      </rPr>
      <t xml:space="preserve">7</t>
    </r>
    <r>
      <rPr>
        <sz val="9"/>
        <rFont val="WenQuanYi Zen Hei"/>
        <family val="2"/>
      </rPr>
      <t xml:space="preserve">日に発送完了、及川様より売上計上の承認済み。ギフトカード（</t>
    </r>
    <r>
      <rPr>
        <sz val="9"/>
        <rFont val="Yu Gothic"/>
        <family val="0"/>
        <charset val="1"/>
      </rPr>
      <t xml:space="preserve">¥12,800×2</t>
    </r>
    <r>
      <rPr>
        <sz val="9"/>
        <rFont val="WenQuanYi Zen Hei"/>
        <family val="2"/>
      </rPr>
      <t xml:space="preserve">件）は追加手配分。</t>
    </r>
  </si>
  <si>
    <r>
      <rPr>
        <sz val="9"/>
        <rFont val="WenQuanYi Zen Hei"/>
        <family val="2"/>
      </rPr>
      <t xml:space="preserve">・適用税率：軽減税率</t>
    </r>
    <r>
      <rPr>
        <sz val="9"/>
        <rFont val="Yu Gothic"/>
        <family val="0"/>
        <charset val="1"/>
      </rPr>
      <t xml:space="preserve">8%</t>
    </r>
    <r>
      <rPr>
        <sz val="9"/>
        <rFont val="WenQuanYi Zen Hei"/>
        <family val="2"/>
      </rPr>
      <t xml:space="preserve">（飲食料品の譲渡・送料込み・内税）。特定商品引換型ギフトカードのため商品売買として課税。</t>
    </r>
  </si>
  <si>
    <t xml:space="preserve">・酒類や食品以外の物品を含むセットは税率が異なる場合があるため、該当時は経理・税理士に要確認。</t>
  </si>
  <si>
    <r>
      <rPr>
        <b val="true"/>
        <sz val="12"/>
        <rFont val="WenQuanYi Zen Hei"/>
        <family val="2"/>
      </rPr>
      <t xml:space="preserve">お中元 発送先内訳（</t>
    </r>
    <r>
      <rPr>
        <b val="true"/>
        <sz val="12"/>
        <rFont val="Yu Gothic"/>
        <family val="0"/>
        <charset val="1"/>
      </rPr>
      <t xml:space="preserve">2026</t>
    </r>
    <r>
      <rPr>
        <b val="true"/>
        <sz val="12"/>
        <rFont val="WenQuanYi Zen Hei"/>
        <family val="2"/>
      </rPr>
      <t xml:space="preserve">年・全</t>
    </r>
    <r>
      <rPr>
        <b val="true"/>
        <sz val="12"/>
        <rFont val="Yu Gothic"/>
        <family val="0"/>
        <charset val="1"/>
      </rPr>
      <t xml:space="preserve">6</t>
    </r>
    <r>
      <rPr>
        <b val="true"/>
        <sz val="12"/>
        <rFont val="WenQuanYi Zen Hei"/>
        <family val="2"/>
      </rPr>
      <t xml:space="preserve">件）</t>
    </r>
  </si>
  <si>
    <r>
      <rPr>
        <sz val="9"/>
        <rFont val="WenQuanYi Zen Hei"/>
        <family val="2"/>
      </rPr>
      <t xml:space="preserve">出所：及川様メール「お中元住所」（</t>
    </r>
    <r>
      <rPr>
        <sz val="9"/>
        <rFont val="Yu Gothic"/>
        <family val="0"/>
        <charset val="1"/>
      </rPr>
      <t xml:space="preserve">2026/6/25</t>
    </r>
    <r>
      <rPr>
        <sz val="9"/>
        <rFont val="WenQuanYi Zen Hei"/>
        <family val="2"/>
      </rPr>
      <t xml:space="preserve">）</t>
    </r>
  </si>
  <si>
    <t xml:space="preserve">氏名</t>
  </si>
  <si>
    <t xml:space="preserve">郵便番号</t>
  </si>
  <si>
    <t xml:space="preserve">住所</t>
  </si>
  <si>
    <t xml:space="preserve">役職名</t>
  </si>
  <si>
    <t xml:space="preserve">会社名</t>
  </si>
  <si>
    <t xml:space="preserve">藤堂 敦</t>
  </si>
  <si>
    <t xml:space="preserve">190-0012</t>
  </si>
  <si>
    <r>
      <rPr>
        <sz val="10"/>
        <rFont val="WenQuanYi Zen Hei"/>
        <family val="2"/>
      </rPr>
      <t xml:space="preserve">東京都立川市曙町</t>
    </r>
    <r>
      <rPr>
        <sz val="10"/>
        <rFont val="Yu Gothic"/>
        <family val="0"/>
        <charset val="1"/>
      </rPr>
      <t xml:space="preserve">1-31-1</t>
    </r>
    <r>
      <rPr>
        <sz val="10"/>
        <rFont val="WenQuanYi Zen Hei"/>
        <family val="2"/>
      </rPr>
      <t xml:space="preserve">カーロビル</t>
    </r>
  </si>
  <si>
    <t xml:space="preserve">個人宛</t>
  </si>
  <si>
    <t xml:space="preserve">深沢 昇</t>
  </si>
  <si>
    <t xml:space="preserve">185-0012</t>
  </si>
  <si>
    <r>
      <rPr>
        <sz val="10"/>
        <rFont val="WenQuanYi Zen Hei"/>
        <family val="2"/>
      </rPr>
      <t xml:space="preserve">東京都国分寺市本町</t>
    </r>
    <r>
      <rPr>
        <sz val="10"/>
        <rFont val="Yu Gothic"/>
        <family val="0"/>
        <charset val="1"/>
      </rPr>
      <t xml:space="preserve">3-7-31</t>
    </r>
  </si>
  <si>
    <t xml:space="preserve">代表取締役</t>
  </si>
  <si>
    <t xml:space="preserve">有限会社 美津八</t>
  </si>
  <si>
    <t xml:space="preserve">久米 雅史</t>
  </si>
  <si>
    <t xml:space="preserve">900-0021</t>
  </si>
  <si>
    <r>
      <rPr>
        <sz val="10"/>
        <rFont val="WenQuanYi Zen Hei"/>
        <family val="2"/>
      </rPr>
      <t xml:space="preserve">沖縄県那覇市泉崎</t>
    </r>
    <r>
      <rPr>
        <sz val="10"/>
        <rFont val="Yu Gothic"/>
        <family val="0"/>
        <charset val="1"/>
      </rPr>
      <t xml:space="preserve">2</t>
    </r>
    <r>
      <rPr>
        <sz val="10"/>
        <rFont val="WenQuanYi Zen Hei"/>
        <family val="2"/>
      </rPr>
      <t xml:space="preserve">丁目</t>
    </r>
    <r>
      <rPr>
        <sz val="10"/>
        <rFont val="Yu Gothic"/>
        <family val="0"/>
        <charset val="1"/>
      </rPr>
      <t xml:space="preserve">22</t>
    </r>
    <r>
      <rPr>
        <sz val="10"/>
        <rFont val="WenQuanYi Zen Hei"/>
        <family val="2"/>
      </rPr>
      <t xml:space="preserve">番</t>
    </r>
    <r>
      <rPr>
        <sz val="10"/>
        <rFont val="Yu Gothic"/>
        <family val="0"/>
        <charset val="1"/>
      </rPr>
      <t xml:space="preserve">4</t>
    </r>
    <r>
      <rPr>
        <sz val="10"/>
        <rFont val="WenQuanYi Zen Hei"/>
        <family val="2"/>
      </rPr>
      <t xml:space="preserve">号</t>
    </r>
    <r>
      <rPr>
        <sz val="10"/>
        <rFont val="Yu Gothic"/>
        <family val="0"/>
        <charset val="1"/>
      </rPr>
      <t xml:space="preserve">K'S</t>
    </r>
    <r>
      <rPr>
        <sz val="10"/>
        <rFont val="WenQuanYi Zen Hei"/>
        <family val="2"/>
      </rPr>
      <t xml:space="preserve">ビル</t>
    </r>
    <r>
      <rPr>
        <sz val="10"/>
        <rFont val="Yu Gothic"/>
        <family val="0"/>
        <charset val="1"/>
      </rPr>
      <t xml:space="preserve">203</t>
    </r>
    <r>
      <rPr>
        <sz val="10"/>
        <rFont val="WenQuanYi Zen Hei"/>
        <family val="2"/>
      </rPr>
      <t xml:space="preserve">号</t>
    </r>
  </si>
  <si>
    <t xml:space="preserve">弁護士</t>
  </si>
  <si>
    <t xml:space="preserve">久米総合法律事務所</t>
  </si>
  <si>
    <t xml:space="preserve">渡邉 裕</t>
  </si>
  <si>
    <t xml:space="preserve">190-0022</t>
  </si>
  <si>
    <r>
      <rPr>
        <sz val="10"/>
        <rFont val="WenQuanYi Zen Hei"/>
        <family val="2"/>
      </rPr>
      <t xml:space="preserve">東京都立川市錦町</t>
    </r>
    <r>
      <rPr>
        <sz val="10"/>
        <rFont val="Yu Gothic"/>
        <family val="0"/>
        <charset val="1"/>
      </rPr>
      <t xml:space="preserve">2-4-3</t>
    </r>
  </si>
  <si>
    <t xml:space="preserve">株式会社ライズウェル</t>
  </si>
  <si>
    <t xml:space="preserve">金森 和博</t>
  </si>
  <si>
    <t xml:space="preserve">190-0021</t>
  </si>
  <si>
    <r>
      <rPr>
        <sz val="10"/>
        <rFont val="WenQuanYi Zen Hei"/>
        <family val="2"/>
      </rPr>
      <t xml:space="preserve">東京都立川市羽衣町</t>
    </r>
    <r>
      <rPr>
        <sz val="10"/>
        <rFont val="Yu Gothic"/>
        <family val="0"/>
        <charset val="1"/>
      </rPr>
      <t xml:space="preserve">2-4-4</t>
    </r>
    <r>
      <rPr>
        <sz val="10"/>
        <rFont val="WenQuanYi Zen Hei"/>
        <family val="2"/>
      </rPr>
      <t xml:space="preserve">モナークキャッスル</t>
    </r>
    <r>
      <rPr>
        <sz val="10"/>
        <rFont val="Yu Gothic"/>
        <family val="0"/>
        <charset val="1"/>
      </rPr>
      <t xml:space="preserve">201</t>
    </r>
  </si>
  <si>
    <t xml:space="preserve">ゴールドフォレスト株式会社</t>
  </si>
  <si>
    <t xml:space="preserve">岡村 賢智</t>
  </si>
  <si>
    <t xml:space="preserve">900-0033</t>
  </si>
  <si>
    <r>
      <rPr>
        <sz val="10"/>
        <rFont val="WenQuanYi Zen Hei"/>
        <family val="2"/>
      </rPr>
      <t xml:space="preserve">沖縄県那覇市久米</t>
    </r>
    <r>
      <rPr>
        <sz val="10"/>
        <rFont val="Yu Gothic"/>
        <family val="0"/>
        <charset val="1"/>
      </rPr>
      <t xml:space="preserve">2</t>
    </r>
    <r>
      <rPr>
        <sz val="10"/>
        <rFont val="WenQuanYi Zen Hei"/>
        <family val="2"/>
      </rPr>
      <t xml:space="preserve">丁目</t>
    </r>
    <r>
      <rPr>
        <sz val="10"/>
        <rFont val="Yu Gothic"/>
        <family val="0"/>
        <charset val="1"/>
      </rPr>
      <t xml:space="preserve">15</t>
    </r>
    <r>
      <rPr>
        <sz val="10"/>
        <rFont val="WenQuanYi Zen Hei"/>
        <family val="2"/>
      </rPr>
      <t xml:space="preserve">番</t>
    </r>
    <r>
      <rPr>
        <sz val="10"/>
        <rFont val="Yu Gothic"/>
        <family val="0"/>
        <charset val="1"/>
      </rPr>
      <t xml:space="preserve">10</t>
    </r>
    <r>
      <rPr>
        <sz val="10"/>
        <rFont val="WenQuanYi Zen Hei"/>
        <family val="2"/>
      </rPr>
      <t xml:space="preserve">号（久米第</t>
    </r>
    <r>
      <rPr>
        <sz val="10"/>
        <rFont val="Yu Gothic"/>
        <family val="0"/>
        <charset val="1"/>
      </rPr>
      <t xml:space="preserve">2</t>
    </r>
    <r>
      <rPr>
        <sz val="10"/>
        <rFont val="WenQuanYi Zen Hei"/>
        <family val="2"/>
      </rPr>
      <t xml:space="preserve">ビル）</t>
    </r>
  </si>
  <si>
    <t xml:space="preserve">チーフプランナー</t>
  </si>
  <si>
    <t xml:space="preserve">株式会社アートマン計画事務所</t>
  </si>
</sst>
</file>

<file path=xl/styles.xml><?xml version="1.0" encoding="utf-8"?>
<styleSheet xmlns="http://schemas.openxmlformats.org/spreadsheetml/2006/main">
  <numFmts count="2">
    <numFmt numFmtId="164" formatCode="General"/>
    <numFmt numFmtId="165" formatCode="\¥#,##0"/>
  </numFmts>
  <fonts count="21">
    <font>
      <sz val="11"/>
      <color theme="1"/>
      <name val="Calibri"/>
      <family val="2"/>
      <charset val="1"/>
    </font>
    <font>
      <sz val="10"/>
      <name val="Arial"/>
      <family val="0"/>
    </font>
    <font>
      <sz val="10"/>
      <name val="Arial"/>
      <family val="0"/>
    </font>
    <font>
      <sz val="10"/>
      <name val="Arial"/>
      <family val="0"/>
    </font>
    <font>
      <b val="true"/>
      <sz val="18"/>
      <name val="WenQuanYi Zen Hei"/>
      <family val="2"/>
    </font>
    <font>
      <sz val="11"/>
      <name val="WenQuanYi Zen Hei"/>
      <family val="2"/>
    </font>
    <font>
      <sz val="11"/>
      <name val="Yu Gothic"/>
      <family val="0"/>
      <charset val="1"/>
    </font>
    <font>
      <b val="true"/>
      <sz val="13"/>
      <name val="WenQuanYi Zen Hei"/>
      <family val="2"/>
    </font>
    <font>
      <sz val="10"/>
      <name val="WenQuanYi Zen Hei"/>
      <family val="2"/>
    </font>
    <font>
      <sz val="10"/>
      <name val="Yu Gothic"/>
      <family val="0"/>
      <charset val="1"/>
    </font>
    <font>
      <b val="true"/>
      <sz val="11"/>
      <name val="WenQuanYi Zen Hei"/>
      <family val="2"/>
    </font>
    <font>
      <b val="true"/>
      <sz val="11"/>
      <name val="Yu Gothic"/>
      <family val="0"/>
      <charset val="1"/>
    </font>
    <font>
      <b val="true"/>
      <sz val="12"/>
      <name val="WenQuanYi Zen Hei"/>
      <family val="2"/>
    </font>
    <font>
      <b val="true"/>
      <sz val="14"/>
      <name val="Yu Gothic"/>
      <family val="0"/>
      <charset val="1"/>
    </font>
    <font>
      <sz val="9"/>
      <name val="WenQuanYi Zen Hei"/>
      <family val="2"/>
    </font>
    <font>
      <b val="true"/>
      <sz val="10"/>
      <name val="Yu Gothic"/>
      <family val="0"/>
      <charset val="1"/>
    </font>
    <font>
      <b val="true"/>
      <sz val="10"/>
      <name val="WenQuanYi Zen Hei"/>
      <family val="2"/>
    </font>
    <font>
      <sz val="9"/>
      <name val="Yu Gothic"/>
      <family val="0"/>
      <charset val="1"/>
    </font>
    <font>
      <sz val="8"/>
      <name val="WenQuanYi Zen Hei"/>
      <family val="2"/>
    </font>
    <font>
      <sz val="8"/>
      <name val="Yu Gothic"/>
      <family val="0"/>
      <charset val="1"/>
    </font>
    <font>
      <b val="true"/>
      <sz val="12"/>
      <name val="Yu Gothic"/>
      <family val="0"/>
      <charset val="1"/>
    </font>
  </fonts>
  <fills count="3">
    <fill>
      <patternFill patternType="none"/>
    </fill>
    <fill>
      <patternFill patternType="gray125"/>
    </fill>
    <fill>
      <patternFill patternType="solid">
        <fgColor rgb="FFD9D9D9"/>
        <bgColor rgb="FFC0C0C0"/>
      </patternFill>
    </fill>
  </fills>
  <borders count="4">
    <border diagonalUp="false" diagonalDown="false">
      <left/>
      <right/>
      <top/>
      <bottom/>
      <diagonal/>
    </border>
    <border diagonalUp="false" diagonalDown="false">
      <left/>
      <right/>
      <top/>
      <bottom style="thin"/>
      <diagonal/>
    </border>
    <border diagonalUp="false" diagonalDown="false">
      <left/>
      <right/>
      <top/>
      <bottom style="double"/>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2"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15" fillId="2" borderId="3" xfId="0" applyFont="true" applyBorder="true" applyAlignment="true" applyProtection="false">
      <alignment horizontal="center" vertical="center" textRotation="0" wrapText="false" indent="0" shrinkToFit="false"/>
      <protection locked="true" hidden="false"/>
    </xf>
    <xf numFmtId="164" fontId="16" fillId="2" borderId="3"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5" fontId="6" fillId="0" borderId="3" xfId="0" applyFont="true" applyBorder="true" applyAlignment="false" applyProtection="false">
      <alignment horizontal="general" vertical="bottom" textRotation="0" wrapText="false" indent="0" shrinkToFit="false"/>
      <protection locked="true" hidden="false"/>
    </xf>
    <xf numFmtId="164" fontId="17" fillId="0" borderId="3" xfId="0" applyFont="true" applyBorder="true" applyAlignment="true" applyProtection="false">
      <alignment horizontal="center" vertical="center" textRotation="0" wrapText="false" indent="0" shrinkToFit="false"/>
      <protection locked="true" hidden="false"/>
    </xf>
    <xf numFmtId="164" fontId="17" fillId="0" borderId="3" xfId="0" applyFont="true" applyBorder="true" applyAlignment="false" applyProtection="false">
      <alignment horizontal="general" vertical="bottom" textRotation="0" wrapText="false" indent="0" shrinkToFit="false"/>
      <protection locked="true" hidden="false"/>
    </xf>
    <xf numFmtId="164" fontId="14" fillId="0" borderId="3"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18" fillId="0" borderId="3" xfId="0" applyFont="true" applyBorder="true" applyAlignment="false" applyProtection="false">
      <alignment horizontal="general" vertical="bottom" textRotation="0" wrapText="false" indent="0" shrinkToFit="false"/>
      <protection locked="true" hidden="false"/>
    </xf>
    <xf numFmtId="165" fontId="11" fillId="0" borderId="3"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2"/>
    <col collapsed="false" customWidth="true" hidden="false" outlineLevel="0" max="4" min="4" style="0" width="7"/>
    <col collapsed="false" customWidth="true" hidden="false" outlineLevel="0" max="5" min="5" style="0" width="13"/>
    <col collapsed="false" customWidth="true" hidden="false" outlineLevel="0" max="6" min="6" style="0" width="11"/>
    <col collapsed="false" customWidth="true" hidden="false" outlineLevel="0" max="7" min="7" style="0" width="16"/>
  </cols>
  <sheetData>
    <row r="1" customFormat="false" ht="30" hidden="false" customHeight="true" outlineLevel="0" collapsed="false">
      <c r="A1" s="1" t="s">
        <v>0</v>
      </c>
      <c r="B1" s="1"/>
      <c r="C1" s="1"/>
      <c r="D1" s="1"/>
      <c r="E1" s="1"/>
      <c r="F1" s="1"/>
      <c r="G1" s="1"/>
    </row>
    <row r="3" customFormat="false" ht="15" hidden="false" customHeight="false" outlineLevel="0" collapsed="false">
      <c r="F3" s="2" t="s">
        <v>1</v>
      </c>
      <c r="G3" s="3" t="s">
        <v>2</v>
      </c>
    </row>
    <row r="4" customFormat="false" ht="15" hidden="false" customHeight="false" outlineLevel="0" collapsed="false">
      <c r="F4" s="2" t="s">
        <v>3</v>
      </c>
      <c r="G4" s="3" t="s">
        <v>4</v>
      </c>
    </row>
    <row r="6" customFormat="false" ht="16.15" hidden="false" customHeight="false" outlineLevel="0" collapsed="false">
      <c r="A6" s="4" t="s">
        <v>5</v>
      </c>
      <c r="B6" s="4"/>
      <c r="C6" s="4"/>
      <c r="F6" s="5" t="s">
        <v>6</v>
      </c>
      <c r="G6" s="5"/>
    </row>
    <row r="7" customFormat="false" ht="16.15" hidden="false" customHeight="false" outlineLevel="0" collapsed="false">
      <c r="A7" s="4" t="s">
        <v>7</v>
      </c>
      <c r="B7" s="4"/>
      <c r="C7" s="4"/>
      <c r="F7" s="5" t="s">
        <v>8</v>
      </c>
      <c r="G7" s="5"/>
    </row>
    <row r="8" customFormat="false" ht="15" hidden="false" customHeight="false" outlineLevel="0" collapsed="false">
      <c r="F8" s="5" t="s">
        <v>9</v>
      </c>
      <c r="G8" s="5"/>
    </row>
    <row r="9" customFormat="false" ht="15" hidden="false" customHeight="false" outlineLevel="0" collapsed="false">
      <c r="F9" s="5" t="s">
        <v>10</v>
      </c>
      <c r="G9" s="5"/>
    </row>
    <row r="10" customFormat="false" ht="15" hidden="false" customHeight="false" outlineLevel="0" collapsed="false">
      <c r="F10" s="6" t="s">
        <v>11</v>
      </c>
      <c r="G10" s="6"/>
    </row>
    <row r="11" customFormat="false" ht="15" hidden="false" customHeight="false" outlineLevel="0" collapsed="false">
      <c r="F11" s="6" t="s">
        <v>12</v>
      </c>
      <c r="G11" s="6"/>
    </row>
    <row r="13" customFormat="false" ht="15" hidden="false" customHeight="false" outlineLevel="0" collapsed="false">
      <c r="A13" s="7" t="s">
        <v>13</v>
      </c>
    </row>
    <row r="15" customFormat="false" ht="17.35" hidden="false" customHeight="false" outlineLevel="0" collapsed="false">
      <c r="A15" s="8" t="s">
        <v>14</v>
      </c>
      <c r="B15" s="9" t="n">
        <f aca="false">E26</f>
        <v>67480</v>
      </c>
      <c r="C15" s="9"/>
      <c r="D15" s="10" t="s">
        <v>15</v>
      </c>
      <c r="E15" s="11" t="str">
        <f aca="false">"（うち消費税額 8%：¥"&amp;TEXT(E25,"#,##0")&amp;"）"</f>
        <v>（うち消費税額 8%：¥4,998）</v>
      </c>
      <c r="F15" s="11"/>
      <c r="G15" s="11"/>
    </row>
    <row r="17" customFormat="false" ht="15" hidden="false" customHeight="false" outlineLevel="0" collapsed="false">
      <c r="A17" s="12" t="s">
        <v>16</v>
      </c>
      <c r="B17" s="13" t="s">
        <v>17</v>
      </c>
      <c r="C17" s="13" t="s">
        <v>18</v>
      </c>
      <c r="D17" s="13" t="s">
        <v>19</v>
      </c>
      <c r="E17" s="13" t="s">
        <v>20</v>
      </c>
      <c r="F17" s="13" t="s">
        <v>21</v>
      </c>
      <c r="G17" s="13" t="s">
        <v>22</v>
      </c>
    </row>
    <row r="18" customFormat="false" ht="15" hidden="false" customHeight="false" outlineLevel="0" collapsed="false">
      <c r="A18" s="14" t="n">
        <v>1</v>
      </c>
      <c r="B18" s="15" t="s">
        <v>23</v>
      </c>
      <c r="C18" s="16" t="n">
        <v>6980</v>
      </c>
      <c r="D18" s="14" t="n">
        <v>6</v>
      </c>
      <c r="E18" s="16" t="n">
        <f aca="false">C18*D18</f>
        <v>41880</v>
      </c>
      <c r="F18" s="17" t="s">
        <v>24</v>
      </c>
      <c r="G18" s="18" t="s">
        <v>25</v>
      </c>
    </row>
    <row r="19" customFormat="false" ht="15" hidden="false" customHeight="false" outlineLevel="0" collapsed="false">
      <c r="A19" s="14" t="n">
        <v>2</v>
      </c>
      <c r="B19" s="15" t="s">
        <v>26</v>
      </c>
      <c r="C19" s="16" t="n">
        <v>12800</v>
      </c>
      <c r="D19" s="14" t="n">
        <v>2</v>
      </c>
      <c r="E19" s="16" t="n">
        <f aca="false">C19*D19</f>
        <v>25600</v>
      </c>
      <c r="F19" s="17" t="s">
        <v>24</v>
      </c>
      <c r="G19" s="19" t="s">
        <v>27</v>
      </c>
    </row>
    <row r="20" customFormat="false" ht="15" hidden="false" customHeight="false" outlineLevel="0" collapsed="false">
      <c r="A20" s="20"/>
      <c r="B20" s="20"/>
      <c r="C20" s="20"/>
      <c r="D20" s="20"/>
      <c r="E20" s="20"/>
      <c r="F20" s="20"/>
      <c r="G20" s="20"/>
    </row>
    <row r="21" customFormat="false" ht="15" hidden="false" customHeight="false" outlineLevel="0" collapsed="false">
      <c r="A21" s="20"/>
      <c r="B21" s="20"/>
      <c r="C21" s="20"/>
      <c r="D21" s="20"/>
      <c r="E21" s="20"/>
      <c r="F21" s="20"/>
      <c r="G21" s="20"/>
    </row>
    <row r="24" customFormat="false" ht="15" hidden="false" customHeight="false" outlineLevel="0" collapsed="false">
      <c r="D24" s="13" t="s">
        <v>28</v>
      </c>
      <c r="E24" s="16" t="n">
        <f aca="false">SUM(E18:E21)</f>
        <v>67480</v>
      </c>
      <c r="F24" s="20"/>
      <c r="G24" s="20"/>
    </row>
    <row r="25" customFormat="false" ht="15" hidden="false" customHeight="false" outlineLevel="0" collapsed="false">
      <c r="D25" s="13" t="s">
        <v>29</v>
      </c>
      <c r="E25" s="16" t="n">
        <f aca="false">ROUNDDOWN(E24*8/108,0)</f>
        <v>4998</v>
      </c>
      <c r="F25" s="20"/>
      <c r="G25" s="21" t="s">
        <v>30</v>
      </c>
    </row>
    <row r="26" customFormat="false" ht="15" hidden="false" customHeight="false" outlineLevel="0" collapsed="false">
      <c r="D26" s="13" t="s">
        <v>31</v>
      </c>
      <c r="E26" s="22" t="n">
        <f aca="false">E24</f>
        <v>67480</v>
      </c>
      <c r="F26" s="20"/>
      <c r="G26" s="20"/>
    </row>
    <row r="28" customFormat="false" ht="15" hidden="false" customHeight="false" outlineLevel="0" collapsed="false">
      <c r="A28" s="23" t="s">
        <v>32</v>
      </c>
      <c r="B28" s="23"/>
      <c r="C28" s="23"/>
      <c r="D28" s="23"/>
      <c r="E28" s="23"/>
      <c r="F28" s="23"/>
      <c r="G28" s="23"/>
    </row>
    <row r="29" customFormat="false" ht="13.4" hidden="false" customHeight="false" outlineLevel="0" collapsed="false">
      <c r="A29" s="23" t="s">
        <v>33</v>
      </c>
      <c r="B29" s="23"/>
      <c r="C29" s="23"/>
      <c r="D29" s="23"/>
      <c r="E29" s="23"/>
      <c r="F29" s="23"/>
      <c r="G29" s="23"/>
    </row>
    <row r="30" customFormat="false" ht="13.4" hidden="false" customHeight="false" outlineLevel="0" collapsed="false">
      <c r="A30" s="23" t="s">
        <v>34</v>
      </c>
      <c r="B30" s="23"/>
      <c r="C30" s="23"/>
      <c r="D30" s="23"/>
      <c r="E30" s="23"/>
      <c r="F30" s="23"/>
      <c r="G30" s="23"/>
    </row>
    <row r="31" customFormat="false" ht="13.4" hidden="false" customHeight="false" outlineLevel="0" collapsed="false">
      <c r="A31" s="23" t="s">
        <v>35</v>
      </c>
      <c r="B31" s="23"/>
      <c r="C31" s="23"/>
      <c r="D31" s="23"/>
      <c r="E31" s="23"/>
      <c r="F31" s="23"/>
      <c r="G31" s="23"/>
    </row>
    <row r="32" customFormat="false" ht="15" hidden="false" customHeight="false" outlineLevel="0" collapsed="false">
      <c r="A32" s="23" t="s">
        <v>36</v>
      </c>
      <c r="B32" s="23"/>
      <c r="C32" s="23"/>
      <c r="D32" s="23"/>
      <c r="E32" s="23"/>
      <c r="F32" s="23"/>
      <c r="G32" s="23"/>
    </row>
  </sheetData>
  <mergeCells count="16">
    <mergeCell ref="A1:G1"/>
    <mergeCell ref="A6:C6"/>
    <mergeCell ref="F6:G6"/>
    <mergeCell ref="A7:C7"/>
    <mergeCell ref="F7:G7"/>
    <mergeCell ref="F8:G8"/>
    <mergeCell ref="F9:G9"/>
    <mergeCell ref="F10:G10"/>
    <mergeCell ref="F11:G11"/>
    <mergeCell ref="B15:C15"/>
    <mergeCell ref="E15:G15"/>
    <mergeCell ref="A28:G28"/>
    <mergeCell ref="A29:G29"/>
    <mergeCell ref="A30:G30"/>
    <mergeCell ref="A31:G31"/>
    <mergeCell ref="A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0"/>
    <col collapsed="false" customWidth="true" hidden="false" outlineLevel="0" max="4" min="4" style="0" width="42"/>
    <col collapsed="false" customWidth="true" hidden="false" outlineLevel="0" max="5" min="5" style="0" width="14"/>
    <col collapsed="false" customWidth="true" hidden="false" outlineLevel="0" max="6" min="6" style="0" width="24"/>
    <col collapsed="false" customWidth="true" hidden="false" outlineLevel="0" max="7" min="7" style="0" width="10"/>
  </cols>
  <sheetData>
    <row r="1" customFormat="false" ht="16.4" hidden="false" customHeight="false" outlineLevel="0" collapsed="false">
      <c r="A1" s="8" t="s">
        <v>37</v>
      </c>
    </row>
    <row r="2" customFormat="false" ht="15" hidden="false" customHeight="false" outlineLevel="0" collapsed="false">
      <c r="A2" s="24" t="s">
        <v>38</v>
      </c>
    </row>
    <row r="4" customFormat="false" ht="15" hidden="false" customHeight="false" outlineLevel="0" collapsed="false">
      <c r="A4" s="12" t="s">
        <v>16</v>
      </c>
      <c r="B4" s="13" t="s">
        <v>39</v>
      </c>
      <c r="C4" s="13" t="s">
        <v>40</v>
      </c>
      <c r="D4" s="13" t="s">
        <v>41</v>
      </c>
      <c r="E4" s="13" t="s">
        <v>42</v>
      </c>
      <c r="F4" s="13" t="s">
        <v>43</v>
      </c>
      <c r="G4" s="13" t="s">
        <v>22</v>
      </c>
    </row>
    <row r="5" customFormat="false" ht="15" hidden="false" customHeight="false" outlineLevel="0" collapsed="false">
      <c r="A5" s="25" t="n">
        <v>1</v>
      </c>
      <c r="B5" s="15" t="s">
        <v>44</v>
      </c>
      <c r="C5" s="25" t="s">
        <v>45</v>
      </c>
      <c r="D5" s="15" t="s">
        <v>46</v>
      </c>
      <c r="E5" s="15"/>
      <c r="F5" s="15"/>
      <c r="G5" s="15" t="s">
        <v>47</v>
      </c>
    </row>
    <row r="6" customFormat="false" ht="15" hidden="false" customHeight="false" outlineLevel="0" collapsed="false">
      <c r="A6" s="25" t="n">
        <v>2</v>
      </c>
      <c r="B6" s="15" t="s">
        <v>48</v>
      </c>
      <c r="C6" s="25" t="s">
        <v>49</v>
      </c>
      <c r="D6" s="15" t="s">
        <v>50</v>
      </c>
      <c r="E6" s="15" t="s">
        <v>51</v>
      </c>
      <c r="F6" s="15" t="s">
        <v>52</v>
      </c>
      <c r="G6" s="15"/>
    </row>
    <row r="7" customFormat="false" ht="15" hidden="false" customHeight="false" outlineLevel="0" collapsed="false">
      <c r="A7" s="25" t="n">
        <v>3</v>
      </c>
      <c r="B7" s="15" t="s">
        <v>53</v>
      </c>
      <c r="C7" s="25" t="s">
        <v>54</v>
      </c>
      <c r="D7" s="15" t="s">
        <v>55</v>
      </c>
      <c r="E7" s="15" t="s">
        <v>56</v>
      </c>
      <c r="F7" s="15" t="s">
        <v>57</v>
      </c>
      <c r="G7" s="15"/>
    </row>
    <row r="8" customFormat="false" ht="15" hidden="false" customHeight="false" outlineLevel="0" collapsed="false">
      <c r="A8" s="25" t="n">
        <v>4</v>
      </c>
      <c r="B8" s="15" t="s">
        <v>58</v>
      </c>
      <c r="C8" s="25" t="s">
        <v>59</v>
      </c>
      <c r="D8" s="15" t="s">
        <v>60</v>
      </c>
      <c r="E8" s="15" t="s">
        <v>51</v>
      </c>
      <c r="F8" s="15" t="s">
        <v>61</v>
      </c>
      <c r="G8" s="15"/>
    </row>
    <row r="9" customFormat="false" ht="15" hidden="false" customHeight="false" outlineLevel="0" collapsed="false">
      <c r="A9" s="25" t="n">
        <v>5</v>
      </c>
      <c r="B9" s="15" t="s">
        <v>62</v>
      </c>
      <c r="C9" s="25" t="s">
        <v>63</v>
      </c>
      <c r="D9" s="15" t="s">
        <v>64</v>
      </c>
      <c r="E9" s="15" t="s">
        <v>51</v>
      </c>
      <c r="F9" s="15" t="s">
        <v>65</v>
      </c>
      <c r="G9" s="15"/>
    </row>
    <row r="10" customFormat="false" ht="15" hidden="false" customHeight="false" outlineLevel="0" collapsed="false">
      <c r="A10" s="25" t="n">
        <v>6</v>
      </c>
      <c r="B10" s="15" t="s">
        <v>66</v>
      </c>
      <c r="C10" s="25" t="s">
        <v>67</v>
      </c>
      <c r="D10" s="15" t="s">
        <v>68</v>
      </c>
      <c r="E10" s="15" t="s">
        <v>69</v>
      </c>
      <c r="F10" s="15" t="s">
        <v>70</v>
      </c>
      <c r="G10"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2026-07-25T08:29:54Z</dcterms:created>
  <dc:creator>openpyxl</dc:creator>
  <dc:description/>
  <dc:language>en-US</dc:language>
  <cp:lastModifiedBy/>
  <dcterms:modified xsi:type="dcterms:W3CDTF">2026-07-25T08:29:54Z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